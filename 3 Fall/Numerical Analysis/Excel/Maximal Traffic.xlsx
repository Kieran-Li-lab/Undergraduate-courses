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I\Desktop\24秋\Numerical Analysis\Excel\"/>
    </mc:Choice>
  </mc:AlternateContent>
  <xr:revisionPtr revIDLastSave="0" documentId="13_ncr:1_{BC2E70D4-14E4-4063-B0EF-DD85EBC364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Sheet1!$B$2:$F$6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Sheet1!$B$2:$F$6</definedName>
    <definedName name="solver_lhs2" localSheetId="0" hidden="1">Sheet1!$C$7:$F$7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Sheet1!$B$7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hs1" localSheetId="0" hidden="1">Sheet1!$B$11:$F$15</definedName>
    <definedName name="solver_rhs2" localSheetId="0" hidden="1">Sheet1!$G$3:$G$6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1048550" i="1" l="1" a="1"/>
  <c r="XFD1048550" i="1" s="1"/>
  <c r="XFD1048551" i="1" a="1"/>
  <c r="XFD1048551" i="1" s="1"/>
  <c r="XFD1048552" i="1" a="1"/>
  <c r="XFD1048552" i="1" s="1"/>
  <c r="XFD1048553" i="1" a="1"/>
  <c r="XFD1048553" i="1" s="1"/>
  <c r="XFD1048554" i="1" a="1"/>
  <c r="XFD1048554" i="1" s="1"/>
  <c r="XFD1048555" i="1" a="1"/>
  <c r="XFD1048555" i="1" s="1"/>
  <c r="XFD1048556" i="1" a="1"/>
  <c r="XFD1048556" i="1"/>
  <c r="XFD1048557" i="1" a="1"/>
  <c r="XFD1048557" i="1" s="1"/>
  <c r="XFD1048558" i="1" a="1"/>
  <c r="XFD1048558" i="1" s="1"/>
  <c r="XFD1048559" i="1" a="1"/>
  <c r="XFD1048559" i="1" s="1"/>
  <c r="XFD1048560" i="1" a="1"/>
  <c r="XFD1048560" i="1" s="1"/>
  <c r="XFD1048561" i="1" a="1"/>
  <c r="XFD1048561" i="1" s="1"/>
  <c r="XFD1048562" i="1" a="1"/>
  <c r="XFD1048562" i="1" s="1"/>
  <c r="XFD1048563" i="1" a="1"/>
  <c r="XFD1048563" i="1" s="1"/>
  <c r="XFD1048564" i="1" a="1"/>
  <c r="XFD1048564" i="1"/>
  <c r="XFD1048565" i="1" a="1"/>
  <c r="XFD1048565" i="1"/>
  <c r="XFD1048566" i="1" a="1"/>
  <c r="XFD1048566" i="1" s="1"/>
  <c r="XFD1048567" i="1" a="1"/>
  <c r="XFD1048567" i="1" s="1"/>
  <c r="XFD1048568" i="1" a="1"/>
  <c r="XFD1048568" i="1"/>
  <c r="XFD1048569" i="1" a="1"/>
  <c r="XFD1048569" i="1"/>
  <c r="XFD1048570" i="1" a="1"/>
  <c r="XFD1048570" i="1" s="1"/>
  <c r="XFD1048571" i="1" a="1"/>
  <c r="XFD1048571" i="1" s="1"/>
  <c r="XFD1048572" i="1" a="1"/>
  <c r="XFD1048572" i="1"/>
  <c r="XFD1048573" i="1" a="1"/>
  <c r="XFD1048573" i="1"/>
  <c r="XFD1048574" i="1" a="1"/>
  <c r="XFD1048574" i="1" s="1"/>
  <c r="XFD1048575" i="1" a="1"/>
  <c r="XFD1048575" i="1" s="1"/>
  <c r="C7" i="1"/>
  <c r="D7" i="1"/>
  <c r="E7" i="1"/>
  <c r="F7" i="1"/>
  <c r="B7" i="1"/>
  <c r="G3" i="1"/>
  <c r="G4" i="1"/>
  <c r="G5" i="1"/>
  <c r="G6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<sst xmlns="http://schemas.openxmlformats.org/spreadsheetml/2006/main" count="23" uniqueCount="9">
  <si>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</si>
  <si>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</si>
  <si>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</si>
  <si>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</si>
  <si>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</si>
  <si>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A</t>
    <phoneticPr fontId="1" type="noConversion"/>
  </si>
  <si>
    <t>x_ij</t>
    <phoneticPr fontId="1" type="noConversion"/>
  </si>
  <si>
    <t>c_ij</t>
    <phoneticPr fontId="1" type="noConversion"/>
  </si>
  <si>
    <t>数据→规划求解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</si>
</sst>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B2CD23-5085-4ECE-B2A5-5C1CB2110457}">
  <we:reference id="wa104100404" version="3.0.0.1" store="zh-CN" storeType="OMEX"/>
  <we:alternateReferences>
    <we:reference id="WA104100404" version="3.0.0.1" store="WA104100404" storeType="OMEX"/>
  </we:alternateReferences>
  <we:properties>
    <we:property name="Gi4gHS5WQwYLKjUNKgYBDSU=" value="&quot;eWh1SQ==&quot;"/>
    <we:property name="Gi4gHS5WQwYLKjUNKgYFECw=" value="&quot;eWh1SGpXUkQ=&quot;"/>
    <we:property name="Gi4gHS5WQwYLKjUNKgYGASU=" value="&quot;eA==&quot;"/>
    <we:property name="Gi4gHS5WQwYLKjUNKgYGDSo=" value="&quot;eQ==&quot;"/>
    <we:property name="Gi4gHS5WQwYLKjUNKgYGETM=" value="&quot;eHZ1&quot;"/>
    <we:property name="Gi4gHS5WQwYLKjUNKgYGFig=" value="&quot;eQ==&quot;"/>
    <we:property name="Gi4gHS5WQwYLKjUNKgYHAD8=" value="&quot;eA==&quot;"/>
    <we:property name="Gi4gHS5WQwYLKjUNKgYHBzo=" value="&quot;fA==&quot;"/>
    <we:property name="Gi4gHS5WQwYLKjUNKgYHDjE=" value="&quot;eQ==&quot;"/>
    <we:property name="Gi4gHS5WQwYLKjUNKgYHES0=" value="&quot;eQ==&quot;"/>
    <we:property name="Gi4gHS5WQwYLKjUNKgYQDC4=" value="&quot;DhQC&quot;"/>
    <we:property name="Gi4gHS5WQwYLKjUNKgYSAzk=" value="&quot;eWh1SGpXUkQ=&quot;"/>
    <we:property name="Gi4gHS5WQwYLKjUNKgYTByg=" value="&quot;eWh1SGpXUkQ=&quot;"/>
    <we:property name="Gi4gHS5WQwYLKjUNKgYUASo=" value="&quot;eWh1SGs=&quot;"/>
    <we:property name="Gi4gHS5WQwYLKjUNKgYUEDo=" value="&quot;eA==&quot;"/>
    <we:property name="Gi4gHS5WQwYLKjUNKgYWFC4=" value="&quot;eWh1SGpW&quot;"/>
    <we:property name="Gi4gHS5WQwYLKjUNKgYYBz0=" value="&quot;ew==&quot;"/>
    <we:property name="Gi4gHS5WQwYLKjUNKgYYDCA=" value="&quot;enY=&quot;"/>
    <we:property name="Gi4gHS5WQwYLKjUNKgYYED0=" value="&quot;eWh1T28=&quot;"/>
    <we:property name="Gi4gHS5WQwYLKjUNKgYYESU=" value="&quot;eQ==&quot;"/>
    <we:property name="Gi4gHS5WQwYLKjUNKgYZEj0=" value="&quot;eQ==&quot;"/>
    <we:property name="Gi4gHS5WQwYLKjUNKgYZEjk=" value="&quot;eQ==&quot;"/>
    <we:property name="Gi4gHS5WQwYLKjUNKgYbBy4=" value="&quot;eA==&quot;"/>
    <we:property name="Gi4gHS5WQwYLKjUNKgYbFjs=" value="&quot;ew==&quot;"/>
    <we:property name="Gi4gHS5WQwYLKjUNKgYcEi0=" value="&quot;eg==&quot;"/>
    <we:property name="Gi4gHS5WQwYLKjUNKgYcEiA=" value="&quot;eA==&quot;"/>
    <we:property name="Gi4gHS5WQwYLKjUNKgYcEjo=" value="&quot;eWh8QQ==&quot;"/>
    <we:property name="Gi4gHS5WQzgFPg4BNg==" value="&quot;eA==&quot;"/>
    <we:property name="Gi4gHS5WQzoGLA==" value="&quot;C3E=&quot;"/>
    <we:property name="UniqueID" value="&quot;20248231727054756404&quot;"/>
    <we:property name="Gi4gHS5WQyMFNCoJOjUQEQ==" value="&quot;&quot;"/>
  </we:properties>
  <we:bindings>
    <we:binding id="refEdit" type="matrix" appref="{CE90A172-1BE3-4BC4-9BE4-978CB461152F}"/>
    <we:binding id="Worker" type="matrix" appref="{B01D38C8-B551-4B14-8CEB-1A98698F3DFF}"/>
    <we:binding id="Obj" type="matrix" appref="{42BF5901-92DF-4D1B-A39D-44F9EA2C0601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5"/>
  <sheetViews>
    <sheetView tabSelected="1" workbookViewId="0">
      <selection activeCell="H1" sqref="H1"/>
    </sheetView>
  </sheetViews>
  <sheetFormatPr defaultColWidth="9" defaultRowHeight="14" x14ac:dyDescent="0.25"/>
  <sheetData>
    <row r="1" spans="1:8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8</v>
      </c>
    </row>
    <row r="2" spans="1:8" x14ac:dyDescent="0.25">
      <c r="A2" s="1" t="s">
        <v>5</v>
      </c>
      <c r="B2">
        <v>0</v>
      </c>
      <c r="C2">
        <v>3</v>
      </c>
      <c r="D2">
        <v>0</v>
      </c>
      <c r="E2">
        <v>3</v>
      </c>
      <c r="F2">
        <v>2</v>
      </c>
      <c r="G2">
        <f>SUM(B2:F2)</f>
        <v>8</v>
      </c>
    </row>
    <row r="3" spans="1:8" x14ac:dyDescent="0.25">
      <c r="A3" s="1" t="s">
        <v>1</v>
      </c>
      <c r="B3">
        <v>0</v>
      </c>
      <c r="C3">
        <v>0</v>
      </c>
      <c r="D3">
        <v>2</v>
      </c>
      <c r="E3">
        <v>1</v>
      </c>
      <c r="F3">
        <v>0</v>
      </c>
      <c r="G3">
        <f t="shared" ref="G3:G6" si="0">SUM(B3:F3)</f>
        <v>3</v>
      </c>
    </row>
    <row r="4" spans="1:8" x14ac:dyDescent="0.25">
      <c r="A4" s="1" t="s">
        <v>2</v>
      </c>
      <c r="B4">
        <v>4.0000000000000009</v>
      </c>
      <c r="C4">
        <v>0</v>
      </c>
      <c r="D4">
        <v>0</v>
      </c>
      <c r="E4">
        <v>0</v>
      </c>
      <c r="F4">
        <v>0</v>
      </c>
      <c r="G4">
        <f t="shared" si="0"/>
        <v>4.0000000000000009</v>
      </c>
    </row>
    <row r="5" spans="1:8" x14ac:dyDescent="0.25">
      <c r="A5" s="1" t="s">
        <v>4</v>
      </c>
      <c r="B5">
        <v>2</v>
      </c>
      <c r="C5">
        <v>0</v>
      </c>
      <c r="D5">
        <v>2</v>
      </c>
      <c r="E5">
        <v>0</v>
      </c>
      <c r="F5">
        <v>0</v>
      </c>
      <c r="G5">
        <f t="shared" si="0"/>
        <v>4</v>
      </c>
    </row>
    <row r="6" spans="1:8" x14ac:dyDescent="0.25">
      <c r="A6" s="1" t="s">
        <v>3</v>
      </c>
      <c r="B6">
        <v>2</v>
      </c>
      <c r="C6">
        <v>0</v>
      </c>
      <c r="D6">
        <v>0</v>
      </c>
      <c r="E6">
        <v>0</v>
      </c>
      <c r="F6">
        <v>0</v>
      </c>
      <c r="G6">
        <f t="shared" si="0"/>
        <v>2</v>
      </c>
    </row>
    <row r="7" spans="1:8" x14ac:dyDescent="0.25">
      <c r="B7">
        <f>SUM(B2:B6)</f>
        <v>8</v>
      </c>
      <c r="C7">
        <f t="shared" ref="C7:F7" si="1">SUM(C2:C6)</f>
        <v>3</v>
      </c>
      <c r="D7">
        <f t="shared" si="1"/>
        <v>4</v>
      </c>
      <c r="E7">
        <f t="shared" si="1"/>
        <v>4</v>
      </c>
      <c r="F7">
        <f t="shared" si="1"/>
        <v>2</v>
      </c>
    </row>
    <row r="10" spans="1:8" x14ac:dyDescent="0.25">
      <c r="A10" s="1" t="s">
        <v>7</v>
      </c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</row>
    <row r="11" spans="1:8" x14ac:dyDescent="0.25">
      <c r="A11" s="1" t="s">
        <v>5</v>
      </c>
      <c r="B11">
        <v>0</v>
      </c>
      <c r="C11">
        <v>4</v>
      </c>
      <c r="D11">
        <v>0</v>
      </c>
      <c r="E11">
        <v>3</v>
      </c>
      <c r="F11">
        <v>2</v>
      </c>
    </row>
    <row r="12" spans="1:8" x14ac:dyDescent="0.25">
      <c r="A12" s="1" t="s">
        <v>1</v>
      </c>
      <c r="B12">
        <v>0</v>
      </c>
      <c r="C12">
        <v>0</v>
      </c>
      <c r="D12">
        <v>2</v>
      </c>
      <c r="E12">
        <v>1</v>
      </c>
      <c r="F12">
        <v>0</v>
      </c>
    </row>
    <row r="13" spans="1:8" x14ac:dyDescent="0.25">
      <c r="A13" s="1" t="s">
        <v>2</v>
      </c>
      <c r="B13">
        <v>5</v>
      </c>
      <c r="C13">
        <v>0</v>
      </c>
      <c r="D13">
        <v>0</v>
      </c>
      <c r="E13">
        <v>0</v>
      </c>
      <c r="F13">
        <v>0</v>
      </c>
    </row>
    <row r="14" spans="1:8" x14ac:dyDescent="0.25">
      <c r="A14" s="1" t="s">
        <v>4</v>
      </c>
      <c r="B14">
        <v>2</v>
      </c>
      <c r="C14">
        <v>0</v>
      </c>
      <c r="D14">
        <v>3</v>
      </c>
      <c r="E14">
        <v>0</v>
      </c>
      <c r="F14">
        <v>0</v>
      </c>
    </row>
    <row r="15" spans="1:8" x14ac:dyDescent="0.25">
      <c r="A15" s="1" t="s">
        <v>3</v>
      </c>
      <c r="B15">
        <v>2</v>
      </c>
      <c r="C15">
        <v>0</v>
      </c>
      <c r="D15">
        <v>0</v>
      </c>
      <c r="E15">
        <v>0</v>
      </c>
      <c r="F15">
        <v>0</v>
      </c>
    </row>
    <row r="1048550" spans="16384:16384" x14ac:dyDescent="0.25">
      <c r="XFD1048550" cm="1">
        <f t="array" ref="XFD1048550">solver_pre</f>
        <v>9.9999999999999995E-7</v>
      </c>
    </row>
    <row r="1048551" spans="16384:16384" x14ac:dyDescent="0.25">
      <c r="XFD1048551" cm="1">
        <f t="array" ref="XFD1048551">solver_scl</f>
        <v>1</v>
      </c>
    </row>
    <row r="1048552" spans="16384:16384" x14ac:dyDescent="0.25">
      <c r="XFD1048552" cm="1">
        <f t="array" ref="XFD1048552">solver_rlx</f>
        <v>2</v>
      </c>
    </row>
    <row r="1048553" spans="16384:16384" x14ac:dyDescent="0.25">
      <c r="XFD1048553" cm="1">
        <f t="array" ref="XFD1048553">solver_tol</f>
        <v>0.01</v>
      </c>
    </row>
    <row r="1048554" spans="16384:16384" x14ac:dyDescent="0.25">
      <c r="XFD1048554" cm="1">
        <f t="array" ref="XFD1048554">solver_cvg</f>
        <v>1E-4</v>
      </c>
    </row>
    <row r="1048555" spans="16384:16384" x14ac:dyDescent="0.25">
      <c r="XFD1048555" t="e" cm="1">
        <f t="array" ref="XFD1048555">AREAS(solver_adj1)</f>
        <v>#NAME?</v>
      </c>
    </row>
    <row r="1048556" spans="16384:16384" x14ac:dyDescent="0.25">
      <c r="XFD1048556" cm="1">
        <f t="array" ref="XFD1048556">solver_ssz</f>
        <v>100</v>
      </c>
    </row>
    <row r="1048557" spans="16384:16384" x14ac:dyDescent="0.25">
      <c r="XFD1048557" cm="1">
        <f t="array" ref="XFD1048557">solver_rsd</f>
        <v>0</v>
      </c>
    </row>
    <row r="1048558" spans="16384:16384" x14ac:dyDescent="0.25">
      <c r="XFD1048558" cm="1">
        <f t="array" ref="XFD1048558">solver_mrt</f>
        <v>7.4999999999999997E-2</v>
      </c>
    </row>
    <row r="1048559" spans="16384:16384" x14ac:dyDescent="0.25">
      <c r="XFD1048559" cm="1">
        <f t="array" ref="XFD1048559">solver_mni</f>
        <v>30</v>
      </c>
    </row>
    <row r="1048560" spans="16384:16384" x14ac:dyDescent="0.25">
      <c r="XFD1048560" cm="1">
        <f t="array" ref="XFD1048560">solver_rbv</f>
        <v>1</v>
      </c>
    </row>
    <row r="1048561" spans="16384:16384" x14ac:dyDescent="0.25">
      <c r="XFD1048561" cm="1">
        <f t="array" ref="XFD1048561">solver_neg</f>
        <v>1</v>
      </c>
    </row>
    <row r="1048562" spans="16384:16384" x14ac:dyDescent="0.25">
      <c r="XFD1048562" t="e" cm="1">
        <f t="array" ref="XFD1048562">solver_ntr</f>
        <v>#NAME?</v>
      </c>
    </row>
    <row r="1048563" spans="16384:16384" x14ac:dyDescent="0.25">
      <c r="XFD1048563" t="e" cm="1">
        <f t="array" ref="XFD1048563">solver_acc</f>
        <v>#NAME?</v>
      </c>
    </row>
    <row r="1048564" spans="16384:16384" x14ac:dyDescent="0.25">
      <c r="XFD1048564" t="e" cm="1">
        <f t="array" ref="XFD1048564">solver_res</f>
        <v>#NAME?</v>
      </c>
    </row>
    <row r="1048565" spans="16384:16384" x14ac:dyDescent="0.25">
      <c r="XFD1048565" t="e" cm="1">
        <f t="array" ref="XFD1048565">solver_ars</f>
        <v>#NAME?</v>
      </c>
    </row>
    <row r="1048566" spans="16384:16384" x14ac:dyDescent="0.25">
      <c r="XFD1048566" t="e" cm="1">
        <f t="array" ref="XFD1048566">solver_sta</f>
        <v>#NAME?</v>
      </c>
    </row>
    <row r="1048567" spans="16384:16384" x14ac:dyDescent="0.25">
      <c r="XFD1048567" t="e" cm="1">
        <f t="array" ref="XFD1048567">solver_met</f>
        <v>#NAME?</v>
      </c>
    </row>
    <row r="1048568" spans="16384:16384" x14ac:dyDescent="0.25">
      <c r="XFD1048568" t="e" cm="1">
        <f t="array" ref="XFD1048568">solver_soc</f>
        <v>#NAME?</v>
      </c>
    </row>
    <row r="1048569" spans="16384:16384" x14ac:dyDescent="0.25">
      <c r="XFD1048569" t="e" cm="1">
        <f t="array" ref="XFD1048569">solver_lpt</f>
        <v>#NAME?</v>
      </c>
    </row>
    <row r="1048570" spans="16384:16384" x14ac:dyDescent="0.25">
      <c r="XFD1048570" t="e" cm="1">
        <f t="array" ref="XFD1048570">solver_lpp</f>
        <v>#NAME?</v>
      </c>
    </row>
    <row r="1048571" spans="16384:16384" x14ac:dyDescent="0.25">
      <c r="XFD1048571" t="e" cm="1">
        <f t="array" ref="XFD1048571">solver_gap</f>
        <v>#NAME?</v>
      </c>
    </row>
    <row r="1048572" spans="16384:16384" x14ac:dyDescent="0.25">
      <c r="XFD1048572" t="e" cm="1">
        <f t="array" ref="XFD1048572">solver_ips</f>
        <v>#NAME?</v>
      </c>
    </row>
    <row r="1048573" spans="16384:16384" x14ac:dyDescent="0.25">
      <c r="XFD1048573" t="e" cm="1">
        <f t="array" ref="XFD1048573">solver_fea</f>
        <v>#NAME?</v>
      </c>
    </row>
    <row r="1048574" spans="16384:16384" x14ac:dyDescent="0.25">
      <c r="XFD1048574" t="e" cm="1">
        <f t="array" ref="XFD1048574">solver_ipi</f>
        <v>#NAME?</v>
      </c>
    </row>
    <row r="1048575" spans="16384:16384" x14ac:dyDescent="0.25">
      <c r="XFD1048575" t="e" cm="1">
        <f t="array" ref="XFD1048575">solver_ipd</f>
        <v>#NAME?</v>
      </c>
    </row>
  </sheetData>
  <phoneticPr fontId="1" type="noConversion"/>
  <pageMargins left="0.7" right="0.7" top="0.75" bottom="0.75" header="0.3" footer="0.3"/>
  <pageSetup paperSize="9" orientation="portrait"/>
  <extLst>
    <ext xmlns:x15="http://schemas.microsoft.com/office/spreadsheetml/2010/11/main" uri="{F7C9EE02-42E1-4005-9D12-6889AFFD525C}">
      <x15:webExtensions xmlns:xm="http://schemas.microsoft.com/office/excel/2006/main">
        <x15:webExtension appRef="{CE90A172-1BE3-4BC4-9BE4-978CB461152F}">
          <xm:f>Sheet1!1:1048576</xm:f>
        </x15:webExtension>
        <x15:webExtension appRef="{B01D38C8-B551-4B14-8CEB-1A98698F3DFF}">
          <xm:f>Sheet1!XFD1048550:XFD1048575</xm:f>
        </x15:webExtension>
        <x15:webExtension appRef="{42BF5901-92DF-4D1B-A39D-44F9EA2C0601}">
          <xm:f>Sheet1!B7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kaiyan li</dc:creator>
  <cp:lastModifiedBy>kaiyan li</cp:lastModifiedBy>
  <dcterms:created xsi:type="dcterms:W3CDTF">2023-05-12T11:15:00Z</dcterms:created>
  <dcterms:modified xsi:type="dcterms:W3CDTF">2024-09-23T15:37:11Z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